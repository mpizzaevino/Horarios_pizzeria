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olo Settiman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AD3"/>
        <bgColor rgb="00D9EAD3"/>
      </patternFill>
    </fill>
    <fill>
      <patternFill patternType="solid">
        <fgColor rgb="00E9EEF4"/>
        <bgColor rgb="00E9EEF4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F4E78"/>
      </top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5" borderId="1" pivotButton="0" quotePrefix="0" xfId="0"/>
    <xf numFmtId="164" fontId="3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3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2" pivotButton="0" quotePrefix="0" xfId="0"/>
    <xf numFmtId="164" fontId="3" fillId="0" borderId="2" applyAlignment="1" pivotButton="0" quotePrefix="0" xfId="0">
      <alignment horizontal="right" vertical="center"/>
    </xf>
    <xf numFmtId="0" fontId="4" fillId="0" borderId="1" pivotButton="0" quotePrefix="0" xfId="0"/>
    <xf numFmtId="165" fontId="4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4" borderId="1" pivotButton="0" quotePrefix="0" xfId="0"/>
    <xf numFmtId="165" fontId="4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6" fillId="6" borderId="3" pivotButton="0" quotePrefix="0" xfId="0"/>
    <xf numFmtId="0" fontId="0" fillId="6" borderId="3" pivotButton="0" quotePrefix="0" xfId="0"/>
    <xf numFmtId="165" fontId="6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6" customWidth="1" min="4" max="4"/>
    <col width="4" customWidth="1" min="5" max="5"/>
    <col width="36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CONTROLLO ORE SETTIMANALI ED EXTRA</t>
        </is>
      </c>
    </row>
    <row r="2">
      <c r="A2" s="2" t="inlineStr">
        <is>
          <t>Settore Hosteleria (6 giorni lavorativi / settimana)</t>
        </is>
      </c>
    </row>
    <row r="4">
      <c r="A4" s="3" t="inlineStr">
        <is>
          <t>Dipendente:</t>
        </is>
      </c>
      <c r="B4" s="4" t="inlineStr">
        <is>
          <t>MOHAMMED</t>
        </is>
      </c>
    </row>
    <row r="5">
      <c r="A5" s="3" t="inlineStr">
        <is>
          <t>Ore Contratto Settimanali:</t>
        </is>
      </c>
      <c r="B5" s="5" t="n">
        <v>30</v>
      </c>
    </row>
    <row r="6">
      <c r="A6" s="3" t="inlineStr">
        <is>
          <t>Giorni Lavorativi / Settimana:</t>
        </is>
      </c>
      <c r="B6" s="4" t="n">
        <v>6</v>
      </c>
    </row>
    <row r="7">
      <c r="A7" s="3" t="inlineStr">
        <is>
          <t>Tariffa Ora Extra Normale:</t>
        </is>
      </c>
      <c r="B7" s="6" t="n">
        <v>8.5</v>
      </c>
    </row>
    <row r="8">
      <c r="A8" s="3" t="inlineStr">
        <is>
          <t>Tariffa Ora Festiva:</t>
        </is>
      </c>
      <c r="B8" s="6" t="n">
        <v>11.6</v>
      </c>
    </row>
    <row r="10">
      <c r="A10" s="7" t="inlineStr">
        <is>
          <t>Giorno</t>
        </is>
      </c>
      <c r="B10" s="7" t="inlineStr">
        <is>
          <t>Data</t>
        </is>
      </c>
      <c r="C10" s="7" t="inlineStr">
        <is>
          <t>È Festivo? (SÌ/NO)</t>
        </is>
      </c>
      <c r="D10" s="7" t="inlineStr">
        <is>
          <t>Ore Lavorate</t>
        </is>
      </c>
      <c r="F10" s="7" t="inlineStr">
        <is>
          <t>RECAPITO E CALCOLO EXTRA</t>
        </is>
      </c>
    </row>
    <row r="11">
      <c r="A11" s="8" t="inlineStr">
        <is>
          <t>Lunedì</t>
        </is>
      </c>
      <c r="B11" s="9" t="inlineStr">
        <is>
          <t>01/01/2024</t>
        </is>
      </c>
      <c r="C11" s="10" t="inlineStr">
        <is>
          <t>NO</t>
        </is>
      </c>
      <c r="D11" s="11" t="n">
        <v>5</v>
      </c>
      <c r="F11" s="12" t="inlineStr">
        <is>
          <t>Giorni Festivi Lavorati nella Settimana</t>
        </is>
      </c>
      <c r="G11" s="13">
        <f>COUNTIF(C11:C17, "SÌ")</f>
        <v/>
      </c>
      <c r="H11" s="14" t="inlineStr">
        <is>
          <t>giorni</t>
        </is>
      </c>
    </row>
    <row r="12">
      <c r="A12" s="15" t="inlineStr">
        <is>
          <t>Martedì</t>
        </is>
      </c>
      <c r="B12" s="16" t="inlineStr">
        <is>
          <t>02/01/2024</t>
        </is>
      </c>
      <c r="C12" s="17" t="inlineStr">
        <is>
          <t>NO</t>
        </is>
      </c>
      <c r="D12" s="18" t="n">
        <v>5</v>
      </c>
      <c r="F12" s="12" t="inlineStr">
        <is>
          <t>Ore Ordinaria Giornaliera Base</t>
        </is>
      </c>
      <c r="G12" s="13">
        <f>B5/B6</f>
        <v/>
      </c>
      <c r="H12" s="14" t="inlineStr">
        <is>
          <t>ore</t>
        </is>
      </c>
    </row>
    <row r="13">
      <c r="A13" s="8" t="inlineStr">
        <is>
          <t>Mercoledì</t>
        </is>
      </c>
      <c r="B13" s="9" t="inlineStr">
        <is>
          <t>03/01/2024</t>
        </is>
      </c>
      <c r="C13" s="10" t="inlineStr">
        <is>
          <t>NO</t>
        </is>
      </c>
      <c r="D13" s="11" t="n">
        <v>5</v>
      </c>
      <c r="F13" s="12" t="inlineStr">
        <is>
          <t>Ore Dovute Settimana (H. Nomina)</t>
        </is>
      </c>
      <c r="G13" s="13">
        <f>B5 - (G12*G13)</f>
        <v/>
      </c>
      <c r="H13" s="14" t="inlineStr">
        <is>
          <t>ore</t>
        </is>
      </c>
    </row>
    <row r="14">
      <c r="A14" s="15" t="inlineStr">
        <is>
          <t>Giovedì</t>
        </is>
      </c>
      <c r="B14" s="16" t="inlineStr">
        <is>
          <t>04/01/2024</t>
        </is>
      </c>
      <c r="C14" s="17" t="inlineStr">
        <is>
          <t>NO</t>
        </is>
      </c>
      <c r="D14" s="18" t="n">
        <v>4.5</v>
      </c>
      <c r="F14" s="12" t="inlineStr">
        <is>
          <t>Totale Ore Lavorate Effettive</t>
        </is>
      </c>
      <c r="G14" s="13">
        <f>D18</f>
        <v/>
      </c>
      <c r="H14" s="14" t="inlineStr">
        <is>
          <t>ore</t>
        </is>
      </c>
    </row>
    <row r="15">
      <c r="A15" s="8" t="inlineStr">
        <is>
          <t>Venerdì</t>
        </is>
      </c>
      <c r="B15" s="9" t="inlineStr">
        <is>
          <t>05/01/2024</t>
        </is>
      </c>
      <c r="C15" s="10" t="inlineStr">
        <is>
          <t>NO</t>
        </is>
      </c>
      <c r="D15" s="11" t="n">
        <v>8</v>
      </c>
      <c r="F15" s="12" t="inlineStr">
        <is>
          <t>Ore Extra Totali (o Debito)</t>
        </is>
      </c>
      <c r="G15" s="13">
        <f>G15-G14</f>
        <v/>
      </c>
      <c r="H15" s="14" t="inlineStr">
        <is>
          <t>ore</t>
        </is>
      </c>
    </row>
    <row r="16">
      <c r="A16" s="19" t="inlineStr">
        <is>
          <t>Sabato</t>
        </is>
      </c>
      <c r="B16" s="20" t="inlineStr">
        <is>
          <t>06/01/2024</t>
        </is>
      </c>
      <c r="C16" s="21" t="inlineStr">
        <is>
          <t>SÌ</t>
        </is>
      </c>
      <c r="D16" s="22" t="n">
        <v>5</v>
      </c>
    </row>
    <row r="17">
      <c r="A17" s="8" t="inlineStr">
        <is>
          <t>Domenica</t>
        </is>
      </c>
      <c r="B17" s="9" t="inlineStr">
        <is>
          <t>07/01/2024</t>
        </is>
      </c>
      <c r="C17" s="10" t="inlineStr">
        <is>
          <t>RIPOSO</t>
        </is>
      </c>
      <c r="D17" s="11" t="n">
        <v>0</v>
      </c>
      <c r="F17" s="23" t="inlineStr">
        <is>
          <t>RIPARTIZIONE ECONOMICHE</t>
        </is>
      </c>
      <c r="G17" s="24" t="inlineStr">
        <is>
          <t>QUANTITÀ</t>
        </is>
      </c>
      <c r="H17" s="25" t="inlineStr">
        <is>
          <t>TARIFFA</t>
        </is>
      </c>
    </row>
    <row r="18">
      <c r="A18" s="23" t="inlineStr">
        <is>
          <t>TOTALE ORE LAVORATE</t>
        </is>
      </c>
      <c r="B18" s="26" t="n"/>
      <c r="C18" s="26" t="n"/>
      <c r="D18" s="27">
        <f>SUM(D11:D17)</f>
        <v/>
      </c>
      <c r="F18" s="28" t="inlineStr">
        <is>
          <t>Ore Extra Ordinarie</t>
        </is>
      </c>
      <c r="G18" s="11">
        <f>MAX(0, G16 - G21)</f>
        <v/>
      </c>
      <c r="H18" s="29">
        <f>B7</f>
        <v/>
      </c>
      <c r="I18" s="30">
        <f>G18*H18</f>
        <v/>
      </c>
    </row>
    <row r="19">
      <c r="F19" s="31" t="inlineStr">
        <is>
          <t>Ore Festive Lavorate</t>
        </is>
      </c>
      <c r="G19" s="22">
        <f>SUMIF(C11:C17, "SÌ", D11:D17)</f>
        <v/>
      </c>
      <c r="H19" s="32">
        <f>B8</f>
        <v/>
      </c>
      <c r="I19" s="33">
        <f>G19*H19</f>
        <v/>
      </c>
    </row>
    <row r="20">
      <c r="F20" s="34" t="inlineStr">
        <is>
          <t>TOTALE COMPENSO EXTRA</t>
        </is>
      </c>
      <c r="G20" s="35" t="n"/>
      <c r="H20" s="35" t="n"/>
      <c r="I20" s="36">
        <f>I20+I21</f>
        <v/>
      </c>
    </row>
  </sheetData>
  <mergeCells count="1">
    <mergeCell ref="F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2026-10-15T23:05:21Z</dcterms:created>
  <dcterms:modified xsi:type="dcterms:W3CDTF">2026-10-15T23:05:21Z</dcterms:modified>
</cp:coreProperties>
</file>